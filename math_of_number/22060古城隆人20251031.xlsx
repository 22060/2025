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ojor_fyn5sjo\2025\math_of_number\"/>
    </mc:Choice>
  </mc:AlternateContent>
  <xr:revisionPtr revIDLastSave="0" documentId="13_ncr:1_{F83247C3-A191-4AF7-BA7A-49051AAE3E5C}" xr6:coauthVersionLast="47" xr6:coauthVersionMax="47" xr10:uidLastSave="{00000000-0000-0000-0000-000000000000}"/>
  <bookViews>
    <workbookView xWindow="-108" yWindow="-108" windowWidth="23256" windowHeight="12456" firstSheet="1" activeTab="1" xr2:uid="{6AFA04B7-C433-472A-9849-FB8D0CD1BDAD}"/>
  </bookViews>
  <sheets>
    <sheet name="Sheet1" sheetId="1" r:id="rId1"/>
    <sheet name="例題8.2" sheetId="2" r:id="rId2"/>
    <sheet name="例題8.2 (2)" sheetId="3" r:id="rId3"/>
    <sheet name="Gaussの消去法" sheetId="4" r:id="rId4"/>
    <sheet name="Gaussの消去法 (2)" sheetId="5" r:id="rId5"/>
  </sheets>
  <definedNames>
    <definedName name="solver_adj" localSheetId="1" hidden="1">'例題8.2'!$B$5</definedName>
    <definedName name="solver_adj" localSheetId="2" hidden="1">'例題8.2 (2)'!$B$5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2" hidden="1">'例題8.2 (2)'!$B$5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2</definedName>
    <definedName name="solver_nod" localSheetId="1" hidden="1">2147483647</definedName>
    <definedName name="solver_nod" localSheetId="2" hidden="1">2147483647</definedName>
    <definedName name="solver_num" localSheetId="1" hidden="1">0</definedName>
    <definedName name="solver_num" localSheetId="2" hidden="1">1</definedName>
    <definedName name="solver_nwt" localSheetId="1" hidden="1">1</definedName>
    <definedName name="solver_nwt" localSheetId="2" hidden="1">1</definedName>
    <definedName name="solver_opt" localSheetId="1" hidden="1">'例題8.2'!$B$6</definedName>
    <definedName name="solver_opt" localSheetId="2" hidden="1">'例題8.2 (2)'!$B$6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el1" localSheetId="2" hidden="1">3</definedName>
    <definedName name="solver_rhs1" localSheetId="2" hidden="1">'例題8.2 (2)'!$C$5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3</definedName>
    <definedName name="solver_typ" localSheetId="2" hidden="1">3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C4" i="3"/>
  <c r="B4" i="3"/>
  <c r="C3" i="3"/>
  <c r="B3" i="3"/>
  <c r="B8" i="3" s="1"/>
  <c r="B7" i="2"/>
  <c r="C4" i="2"/>
  <c r="B4" i="2"/>
  <c r="B3" i="2"/>
  <c r="B8" i="2" s="1"/>
  <c r="C3" i="2"/>
  <c r="E7" i="1" a="1"/>
  <c r="E7" i="1" s="1"/>
  <c r="A7" i="1" a="1"/>
  <c r="A7" i="1" s="1"/>
  <c r="B6" i="3" l="1"/>
  <c r="B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<sst xmlns="http://schemas.openxmlformats.org/spreadsheetml/2006/main" count="30" uniqueCount="13">
  <si>
    <t>A</t>
    <phoneticPr fontId="1"/>
  </si>
  <si>
    <t>b</t>
    <phoneticPr fontId="1"/>
  </si>
  <si>
    <t>A(-1)</t>
    <phoneticPr fontId="1"/>
  </si>
  <si>
    <t>x</t>
    <phoneticPr fontId="1"/>
  </si>
  <si>
    <t>m1</t>
    <phoneticPr fontId="1"/>
  </si>
  <si>
    <t>m2</t>
    <phoneticPr fontId="1"/>
  </si>
  <si>
    <t>k1</t>
    <phoneticPr fontId="1"/>
  </si>
  <si>
    <t>k2</t>
    <phoneticPr fontId="1"/>
  </si>
  <si>
    <t>det(A)</t>
    <phoneticPr fontId="1"/>
  </si>
  <si>
    <t>w*w</t>
    <phoneticPr fontId="1"/>
  </si>
  <si>
    <t>T(s)</t>
    <phoneticPr fontId="1"/>
  </si>
  <si>
    <t>Y2/Y1</t>
    <phoneticPr fontId="1"/>
  </si>
  <si>
    <t>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</si>
</sst>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0A03-7B08-43DF-A0F8-3BBF933BFCEB}">
  <sheetPr codeName="Sheet1"/>
  <dimension ref="A1:E9"/>
  <sheetViews>
    <sheetView workbookViewId="0">
      <selection activeCell="E8" sqref="E8"/>
    </sheetView>
  </sheetViews>
  <sheetFormatPr defaultRowHeight="18" x14ac:dyDescent="0.45"/>
  <sheetData>
    <row r="1" spans="1:5" x14ac:dyDescent="0.45">
      <c r="A1" t="s">
        <v>0</v>
      </c>
      <c r="E1" t="s">
        <v>1</v>
      </c>
    </row>
    <row r="2" spans="1:5" x14ac:dyDescent="0.45">
      <c r="A2">
        <v>1</v>
      </c>
      <c r="B2">
        <v>2</v>
      </c>
      <c r="C2">
        <v>3</v>
      </c>
      <c r="E2">
        <v>8</v>
      </c>
    </row>
    <row r="3" spans="1:5" x14ac:dyDescent="0.45">
      <c r="A3">
        <v>2</v>
      </c>
      <c r="B3">
        <v>5</v>
      </c>
      <c r="C3">
        <v>7</v>
      </c>
      <c r="E3">
        <v>5</v>
      </c>
    </row>
    <row r="4" spans="1:5" x14ac:dyDescent="0.45">
      <c r="A4">
        <v>3</v>
      </c>
      <c r="B4">
        <v>7</v>
      </c>
      <c r="C4">
        <v>11</v>
      </c>
      <c r="E4">
        <v>9</v>
      </c>
    </row>
    <row r="6" spans="1:5" x14ac:dyDescent="0.45">
      <c r="A6" t="s">
        <v>2</v>
      </c>
      <c r="E6" t="s">
        <v>3</v>
      </c>
    </row>
    <row r="7" spans="1:5" x14ac:dyDescent="0.45">
      <c r="A7" cm="1">
        <f t="array" ref="A7:C9">MINVERSE(A2:C4)</f>
        <v>6.0000000000000027</v>
      </c>
      <c r="B7">
        <v>-1.0000000000000018</v>
      </c>
      <c r="C7">
        <v>-0.99999999999999944</v>
      </c>
      <c r="E7" cm="1">
        <f t="array" ref="E7:E9">MMULT(_xlfn.ANCHORARRAY(A7),E2:E4)</f>
        <v>34.000000000000021</v>
      </c>
    </row>
    <row r="8" spans="1:5" x14ac:dyDescent="0.45">
      <c r="A8">
        <v>-0.99999999999999867</v>
      </c>
      <c r="B8">
        <v>1.9999999999999987</v>
      </c>
      <c r="C8">
        <v>-0.99999999999999956</v>
      </c>
      <c r="E8">
        <v>-6.9999999999999929</v>
      </c>
    </row>
    <row r="9" spans="1:5" x14ac:dyDescent="0.45">
      <c r="A9">
        <v>-1.0000000000000013</v>
      </c>
      <c r="B9">
        <v>-0.99999999999999867</v>
      </c>
      <c r="C9">
        <v>0.99999999999999956</v>
      </c>
      <c r="E9">
        <v>-4.0000000000000071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9C42-F9F7-4811-ABA6-2DC2AECF9559}">
  <sheetPr codeName="Sheet2"/>
  <dimension ref="A1:D8"/>
  <sheetViews>
    <sheetView tabSelected="1" workbookViewId="0">
      <selection activeCell="C5" sqref="C5"/>
    </sheetView>
  </sheetViews>
  <sheetFormatPr defaultRowHeight="18" x14ac:dyDescent="0.45"/>
  <sheetData>
    <row r="1" spans="1:4" x14ac:dyDescent="0.45">
      <c r="A1" t="s">
        <v>4</v>
      </c>
      <c r="B1">
        <v>1</v>
      </c>
      <c r="C1" t="s">
        <v>6</v>
      </c>
      <c r="D1">
        <v>1</v>
      </c>
    </row>
    <row r="2" spans="1:4" x14ac:dyDescent="0.45">
      <c r="A2" t="s">
        <v>5</v>
      </c>
      <c r="B2">
        <v>1</v>
      </c>
      <c r="C2" t="s">
        <v>7</v>
      </c>
      <c r="D2">
        <v>1</v>
      </c>
    </row>
    <row r="3" spans="1:4" x14ac:dyDescent="0.45">
      <c r="A3" t="s">
        <v>0</v>
      </c>
      <c r="B3">
        <f>D1+D2-B1*B5</f>
        <v>1.6180336149456975</v>
      </c>
      <c r="C3">
        <f>-D2</f>
        <v>-1</v>
      </c>
    </row>
    <row r="4" spans="1:4" x14ac:dyDescent="0.45">
      <c r="B4">
        <f>-D2</f>
        <v>-1</v>
      </c>
      <c r="C4">
        <f>D2-B2*B5</f>
        <v>0.61803361494569753</v>
      </c>
    </row>
    <row r="5" spans="1:4" x14ac:dyDescent="0.45">
      <c r="A5" t="s">
        <v>9</v>
      </c>
      <c r="B5">
        <v>0.38196638505430253</v>
      </c>
    </row>
    <row r="6" spans="1:4" x14ac:dyDescent="0.45">
      <c r="A6" t="s">
        <v>8</v>
      </c>
      <c r="B6">
        <f>MDETERM(B3:C4)</f>
        <v>-8.3585145576039587E-7</v>
      </c>
    </row>
    <row r="7" spans="1:4" x14ac:dyDescent="0.45">
      <c r="A7" t="s">
        <v>10</v>
      </c>
      <c r="B7">
        <f>2*PI()/SQRT(B5)</f>
        <v>10.166402410047898</v>
      </c>
    </row>
    <row r="8" spans="1:4" x14ac:dyDescent="0.45">
      <c r="A8" t="s">
        <v>11</v>
      </c>
      <c r="B8">
        <f>-B3/C3</f>
        <v>1.6180336149456975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C786-5082-4DE4-B164-1DFFC8AA3A0B}">
  <sheetPr codeName="Sheet3"/>
  <dimension ref="A1:D8"/>
  <sheetViews>
    <sheetView workbookViewId="0">
      <selection activeCell="B6" sqref="B6"/>
    </sheetView>
  </sheetViews>
  <sheetFormatPr defaultRowHeight="18" x14ac:dyDescent="0.45"/>
  <sheetData>
    <row r="1" spans="1:4" x14ac:dyDescent="0.45">
      <c r="A1" t="s">
        <v>4</v>
      </c>
      <c r="B1">
        <v>1</v>
      </c>
      <c r="C1" t="s">
        <v>6</v>
      </c>
      <c r="D1">
        <v>1</v>
      </c>
    </row>
    <row r="2" spans="1:4" x14ac:dyDescent="0.45">
      <c r="A2" t="s">
        <v>5</v>
      </c>
      <c r="B2">
        <v>1</v>
      </c>
      <c r="C2" t="s">
        <v>7</v>
      </c>
      <c r="D2">
        <v>1</v>
      </c>
    </row>
    <row r="3" spans="1:4" x14ac:dyDescent="0.45">
      <c r="A3" t="s">
        <v>0</v>
      </c>
      <c r="B3">
        <f>D1+D2-B1*B5</f>
        <v>-0.61803378768473838</v>
      </c>
      <c r="C3">
        <f>-D2</f>
        <v>-1</v>
      </c>
    </row>
    <row r="4" spans="1:4" x14ac:dyDescent="0.45">
      <c r="B4">
        <f>-D2</f>
        <v>-1</v>
      </c>
      <c r="C4">
        <f>D2-B2*B5</f>
        <v>-1.6180337876847384</v>
      </c>
    </row>
    <row r="5" spans="1:4" x14ac:dyDescent="0.45">
      <c r="A5" t="s">
        <v>9</v>
      </c>
      <c r="B5">
        <v>2.6180337876847384</v>
      </c>
      <c r="C5">
        <v>1</v>
      </c>
    </row>
    <row r="6" spans="1:4" x14ac:dyDescent="0.45">
      <c r="A6" t="s">
        <v>8</v>
      </c>
      <c r="B6">
        <f>MDETERM(B3:C4)</f>
        <v>-4.4959531730892621E-7</v>
      </c>
    </row>
    <row r="7" spans="1:4" x14ac:dyDescent="0.45">
      <c r="A7" t="s">
        <v>10</v>
      </c>
      <c r="B7">
        <f>2*PI()/SQRT(B5)</f>
        <v>3.8832222265667777</v>
      </c>
    </row>
    <row r="8" spans="1:4" x14ac:dyDescent="0.45">
      <c r="A8" t="s">
        <v>11</v>
      </c>
      <c r="B8">
        <f>-B3/C3</f>
        <v>-0.61803378768473838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D38D-3890-4DE9-9FC8-12B6D6C97C30}">
  <sheetPr codeName="Sheet4"/>
  <dimension ref="A1:G5"/>
  <sheetViews>
    <sheetView workbookViewId="0">
      <selection activeCell="I8" sqref="I8"/>
    </sheetView>
  </sheetViews>
  <sheetFormatPr defaultRowHeight="18" x14ac:dyDescent="0.45"/>
  <sheetData>
    <row r="1" spans="1:7" x14ac:dyDescent="0.45">
      <c r="A1" t="s">
        <v>12</v>
      </c>
      <c r="B1">
        <v>3</v>
      </c>
    </row>
    <row r="2" spans="1:7" x14ac:dyDescent="0.45">
      <c r="A2" t="s">
        <v>0</v>
      </c>
      <c r="E2" t="s">
        <v>1</v>
      </c>
      <c r="G2" t="s">
        <v>3</v>
      </c>
    </row>
    <row r="3" spans="1:7" x14ac:dyDescent="0.45">
      <c r="A3">
        <v>1</v>
      </c>
      <c r="B3">
        <v>2</v>
      </c>
      <c r="C3">
        <v>3</v>
      </c>
      <c r="E3">
        <v>8</v>
      </c>
      <c r="G3">
        <v>34</v>
      </c>
    </row>
    <row r="4" spans="1:7" x14ac:dyDescent="0.45">
      <c r="A4">
        <v>2</v>
      </c>
      <c r="B4">
        <v>5</v>
      </c>
      <c r="C4">
        <v>7</v>
      </c>
      <c r="E4">
        <v>5</v>
      </c>
      <c r="G4">
        <v>-7</v>
      </c>
    </row>
    <row r="5" spans="1:7" x14ac:dyDescent="0.45">
      <c r="A5">
        <v>3</v>
      </c>
      <c r="B5">
        <v>7</v>
      </c>
      <c r="C5">
        <v>11</v>
      </c>
      <c r="E5">
        <v>9</v>
      </c>
      <c r="G5">
        <v>-4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523C-2CE1-45E3-8FE8-C1526EE198C6}">
  <sheetPr codeName="Sheet5"/>
  <dimension ref="A1:G5"/>
  <sheetViews>
    <sheetView workbookViewId="0">
      <selection activeCell="I7" sqref="I7"/>
    </sheetView>
  </sheetViews>
  <sheetFormatPr defaultRowHeight="18" x14ac:dyDescent="0.45"/>
  <sheetData>
    <row r="1" spans="1:7" x14ac:dyDescent="0.45">
      <c r="A1" t="s">
        <v>12</v>
      </c>
      <c r="B1">
        <v>3</v>
      </c>
    </row>
    <row r="2" spans="1:7" x14ac:dyDescent="0.45">
      <c r="A2" t="s">
        <v>0</v>
      </c>
      <c r="E2" t="s">
        <v>1</v>
      </c>
      <c r="G2" t="s">
        <v>3</v>
      </c>
    </row>
    <row r="3" spans="1:7" x14ac:dyDescent="0.45">
      <c r="A3">
        <v>0</v>
      </c>
      <c r="B3">
        <v>3</v>
      </c>
      <c r="C3">
        <v>-2</v>
      </c>
      <c r="E3">
        <v>-5</v>
      </c>
      <c r="G3">
        <v>-1.9999999999999996</v>
      </c>
    </row>
    <row r="4" spans="1:7" x14ac:dyDescent="0.45">
      <c r="A4">
        <v>2</v>
      </c>
      <c r="B4">
        <v>5</v>
      </c>
      <c r="C4">
        <v>1</v>
      </c>
      <c r="E4">
        <v>5</v>
      </c>
      <c r="G4">
        <v>0.99999999999999978</v>
      </c>
    </row>
    <row r="5" spans="1:7" x14ac:dyDescent="0.45">
      <c r="A5">
        <v>3</v>
      </c>
      <c r="B5">
        <v>-1</v>
      </c>
      <c r="C5">
        <v>3</v>
      </c>
      <c r="E5">
        <v>5</v>
      </c>
      <c r="G5">
        <v>3.9999999999999996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例題8.2</vt:lpstr>
      <vt:lpstr>例題8.2 (2)</vt:lpstr>
      <vt:lpstr>Gaussの消去法</vt:lpstr>
      <vt:lpstr>Gaussの消去法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古城 隆人_長野</dc:creator>
  <cp:lastModifiedBy>古城 隆人_長野</cp:lastModifiedBy>
  <dcterms:created xsi:type="dcterms:W3CDTF">2025-10-31T04:20:25Z</dcterms:created>
  <dcterms:modified xsi:type="dcterms:W3CDTF">2025-11-14T04:41:07Z</dcterms:modified>
</cp:coreProperties>
</file>